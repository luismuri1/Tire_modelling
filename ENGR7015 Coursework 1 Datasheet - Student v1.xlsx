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a585e231f3b4ffc/Escritorio/Courses/AVD/Assignments/First Assignment/"/>
    </mc:Choice>
  </mc:AlternateContent>
  <xr:revisionPtr revIDLastSave="17" documentId="13_ncr:1_{A69843B3-0102-4104-9CBF-D85D5CAFD340}" xr6:coauthVersionLast="47" xr6:coauthVersionMax="47" xr10:uidLastSave="{9FB9D7C4-1A05-4047-B6EF-59E7A4829F77}"/>
  <bookViews>
    <workbookView xWindow="-110" yWindow="-110" windowWidth="19420" windowHeight="10300" xr2:uid="{00000000-000D-0000-FFFF-FFFF00000000}"/>
  </bookViews>
  <sheets>
    <sheet name="Main" sheetId="1" r:id="rId1"/>
    <sheet name="Raw Data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2" l="1"/>
  <c r="I17" i="2" s="1"/>
  <c r="B17" i="2"/>
  <c r="A25" i="2" s="1"/>
  <c r="B25" i="2" s="1"/>
  <c r="B28" i="1"/>
  <c r="B27" i="1"/>
  <c r="B26" i="1"/>
  <c r="B25" i="1"/>
  <c r="B24" i="1"/>
  <c r="B23" i="1"/>
  <c r="B22" i="1"/>
  <c r="B21" i="1"/>
  <c r="C20" i="1"/>
  <c r="B20" i="1"/>
  <c r="B15" i="1"/>
  <c r="B14" i="1"/>
  <c r="B13" i="1"/>
  <c r="B12" i="1"/>
  <c r="B11" i="1"/>
  <c r="B10" i="1"/>
  <c r="B9" i="1"/>
  <c r="B8" i="1"/>
  <c r="C7" i="1"/>
  <c r="B7" i="1"/>
  <c r="A20" i="2" l="1"/>
  <c r="B20" i="2" s="1"/>
  <c r="A24" i="2"/>
  <c r="B24" i="2" s="1"/>
  <c r="A19" i="2"/>
  <c r="B19" i="2" s="1"/>
  <c r="G18" i="2"/>
  <c r="A18" i="2"/>
  <c r="B18" i="2" s="1"/>
  <c r="G19" i="2"/>
  <c r="G20" i="2"/>
  <c r="A21" i="2"/>
  <c r="B21" i="2" s="1"/>
  <c r="G21" i="2"/>
  <c r="A22" i="2"/>
  <c r="B22" i="2" s="1"/>
  <c r="G22" i="2"/>
  <c r="A23" i="2"/>
  <c r="B23" i="2" s="1"/>
  <c r="G23" i="2"/>
  <c r="G24" i="2"/>
  <c r="G25" i="2"/>
  <c r="C17" i="2"/>
  <c r="H20" i="2" l="1"/>
  <c r="H19" i="2"/>
  <c r="H23" i="2"/>
  <c r="H18" i="2"/>
  <c r="H24" i="2"/>
  <c r="H25" i="2"/>
  <c r="H22" i="2"/>
  <c r="H21" i="2"/>
  <c r="C3" i="2"/>
  <c r="D3" i="2" s="1"/>
  <c r="E3" i="2" s="1"/>
  <c r="C8" i="1" s="1"/>
  <c r="I10" i="2" l="1"/>
  <c r="J10" i="2" s="1"/>
  <c r="K10" i="2" s="1"/>
  <c r="C28" i="1" s="1"/>
  <c r="I8" i="2"/>
  <c r="J8" i="2" s="1"/>
  <c r="K8" i="2" s="1"/>
  <c r="C26" i="1" s="1"/>
  <c r="I7" i="2"/>
  <c r="J7" i="2" s="1"/>
  <c r="K7" i="2" s="1"/>
  <c r="C25" i="1" s="1"/>
  <c r="I6" i="2"/>
  <c r="J6" i="2" s="1"/>
  <c r="K6" i="2" s="1"/>
  <c r="C24" i="1" s="1"/>
  <c r="I3" i="2"/>
  <c r="J3" i="2" s="1"/>
  <c r="K3" i="2" s="1"/>
  <c r="C21" i="1" s="1"/>
  <c r="I4" i="2"/>
  <c r="J4" i="2" s="1"/>
  <c r="K4" i="2" s="1"/>
  <c r="C22" i="1" s="1"/>
  <c r="I5" i="2"/>
  <c r="J5" i="2" s="1"/>
  <c r="K5" i="2" s="1"/>
  <c r="C23" i="1" s="1"/>
  <c r="I9" i="2"/>
  <c r="J9" i="2" s="1"/>
  <c r="K9" i="2" s="1"/>
  <c r="C27" i="1" s="1"/>
  <c r="C4" i="2"/>
  <c r="D4" i="2" s="1"/>
  <c r="E4" i="2" s="1"/>
  <c r="C9" i="1" s="1"/>
  <c r="C5" i="2" l="1"/>
  <c r="D5" i="2" s="1"/>
  <c r="E5" i="2" s="1"/>
  <c r="C10" i="1" s="1"/>
  <c r="C6" i="2" l="1"/>
  <c r="D6" i="2" s="1"/>
  <c r="E6" i="2" s="1"/>
  <c r="C11" i="1" s="1"/>
  <c r="C7" i="2" l="1"/>
  <c r="D7" i="2" s="1"/>
  <c r="E7" i="2" s="1"/>
  <c r="C12" i="1" s="1"/>
  <c r="C8" i="2" l="1"/>
  <c r="D8" i="2" s="1"/>
  <c r="E8" i="2" s="1"/>
  <c r="C13" i="1" s="1"/>
  <c r="C10" i="2" l="1"/>
  <c r="D10" i="2" s="1"/>
  <c r="E10" i="2" s="1"/>
  <c r="C15" i="1" s="1"/>
  <c r="C9" i="2"/>
  <c r="D9" i="2" s="1"/>
  <c r="E9" i="2" s="1"/>
  <c r="C14" i="1" s="1"/>
</calcChain>
</file>

<file path=xl/sharedStrings.xml><?xml version="1.0" encoding="utf-8"?>
<sst xmlns="http://schemas.openxmlformats.org/spreadsheetml/2006/main" count="32" uniqueCount="22">
  <si>
    <t>Student ID</t>
  </si>
  <si>
    <t>Please enter your student ID correctly in cell C2 and obtain the datasets between B7 to C15 concerning the cornering stiffness and B20 to C28 for lateral force.</t>
  </si>
  <si>
    <t>Stage 1: Cornering Stiffness Data</t>
  </si>
  <si>
    <t>Fz [N]</t>
  </si>
  <si>
    <t>CFa [N/deg]</t>
  </si>
  <si>
    <t>Stage 2: Lateral Force Data</t>
  </si>
  <si>
    <t>alpha [deg]</t>
  </si>
  <si>
    <t>Fy [N]</t>
  </si>
  <si>
    <t>Fz (N)</t>
  </si>
  <si>
    <t>CFa (N/deg)</t>
  </si>
  <si>
    <t>Probability, P</t>
  </si>
  <si>
    <t>Noise</t>
  </si>
  <si>
    <t>Final CFa (N/deg)</t>
  </si>
  <si>
    <t>alpha (deg)</t>
  </si>
  <si>
    <t>Fy (N)</t>
  </si>
  <si>
    <t>Final Fy (N)</t>
  </si>
  <si>
    <t>Control</t>
  </si>
  <si>
    <t>Offset</t>
  </si>
  <si>
    <t>Epsilon</t>
  </si>
  <si>
    <t>ID</t>
  </si>
  <si>
    <t># of digits</t>
  </si>
  <si>
    <t>ID Split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</si>
</sst>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C0D0E"/>
      <name val="Ui-monospace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3" borderId="0" xfId="0" applyNumberFormat="1" applyFont="1" applyFill="1" applyAlignment="1">
      <alignment horizontal="center"/>
    </xf>
    <xf numFmtId="4" fontId="4" fillId="0" borderId="0" xfId="0" applyNumberFormat="1" applyFont="1" applyAlignment="1">
      <alignment horizontal="center"/>
    </xf>
    <xf numFmtId="0" fontId="4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2" xfId="0" applyFont="1" applyBorder="1"/>
    <xf numFmtId="0" fontId="3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2" fontId="4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/>
              <a:t>Slip</a:t>
            </a:r>
            <a:r>
              <a:rPr lang="es-PE" baseline="0"/>
              <a:t> Angle vs. Downforce</a:t>
            </a:r>
            <a:endParaRPr lang="es-P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Main!$B$20:$B$28</c:f>
              <c:numCache>
                <c:formatCode>0.0</c:formatCode>
                <c:ptCount val="9"/>
                <c:pt idx="0">
                  <c:v>0</c:v>
                </c:pt>
                <c:pt idx="1">
                  <c:v>1.5</c:v>
                </c:pt>
                <c:pt idx="2">
                  <c:v>3</c:v>
                </c:pt>
                <c:pt idx="3">
                  <c:v>4.5</c:v>
                </c:pt>
                <c:pt idx="4">
                  <c:v>6</c:v>
                </c:pt>
                <c:pt idx="5">
                  <c:v>7.5</c:v>
                </c:pt>
                <c:pt idx="6">
                  <c:v>9</c:v>
                </c:pt>
                <c:pt idx="7">
                  <c:v>10.5</c:v>
                </c:pt>
                <c:pt idx="8">
                  <c:v>12</c:v>
                </c:pt>
              </c:numCache>
            </c:numRef>
          </c:xVal>
          <c:yVal>
            <c:numRef>
              <c:f>Main!$C$20:$C$28</c:f>
              <c:numCache>
                <c:formatCode>0.000</c:formatCode>
                <c:ptCount val="9"/>
                <c:pt idx="0">
                  <c:v>0</c:v>
                </c:pt>
                <c:pt idx="1">
                  <c:v>2599.24484344554</c:v>
                </c:pt>
                <c:pt idx="2">
                  <c:v>3894.1378766427088</c:v>
                </c:pt>
                <c:pt idx="3">
                  <c:v>4036.0146373048528</c:v>
                </c:pt>
                <c:pt idx="4">
                  <c:v>4244.1551565544596</c:v>
                </c:pt>
                <c:pt idx="5">
                  <c:v>4064.5621233572915</c:v>
                </c:pt>
                <c:pt idx="6">
                  <c:v>3802.2599487291959</c:v>
                </c:pt>
                <c:pt idx="7">
                  <c:v>3877.1551565544601</c:v>
                </c:pt>
                <c:pt idx="8">
                  <c:v>3533.6448434455401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9A-4CD8-8DB3-F1A139318C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76463744"/>
        <c:axId val="376464224"/>
      </c:scatterChart>
      <c:valAx>
        <c:axId val="37646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Slip angle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76464224"/>
        <c:crosses val="autoZero"/>
        <c:crossBetween val="midCat"/>
      </c:valAx>
      <c:valAx>
        <c:axId val="376464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/>
                  <a:t>Grip Force (N)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37646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Main!$B$7:$B$15</c:f>
              <c:numCache>
                <c:formatCode>0</c:formatCode>
                <c:ptCount val="9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</c:numCache>
            </c:numRef>
          </c:xVal>
          <c:yVal>
            <c:numRef>
              <c:f>Main!$C$7:$C$15</c:f>
              <c:numCache>
                <c:formatCode>0.000</c:formatCode>
                <c:ptCount val="9"/>
                <c:pt idx="0">
                  <c:v>0</c:v>
                </c:pt>
                <c:pt idx="1">
                  <c:v>487.35242172276992</c:v>
                </c:pt>
                <c:pt idx="2">
                  <c:v>1122.37757827723</c:v>
                </c:pt>
                <c:pt idx="3">
                  <c:v>1461.079974364598</c:v>
                </c:pt>
                <c:pt idx="4">
                  <c:v>1864.0810616786457</c:v>
                </c:pt>
                <c:pt idx="5">
                  <c:v>2126.37757827723</c:v>
                </c:pt>
                <c:pt idx="6">
                  <c:v>2136.1573186524265</c:v>
                </c:pt>
                <c:pt idx="7">
                  <c:v>2263.9189383213543</c:v>
                </c:pt>
                <c:pt idx="8">
                  <c:v>2276.8224217227698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A75-4BAF-B7B8-0378ED5852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4631599"/>
        <c:axId val="954629199"/>
      </c:scatterChart>
      <c:valAx>
        <c:axId val="9546315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4629199"/>
        <c:crosses val="autoZero"/>
        <c:crossBetween val="midCat"/>
      </c:valAx>
      <c:valAx>
        <c:axId val="954629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9546315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587375</xdr:colOff>
      <xdr:row>16</xdr:row>
      <xdr:rowOff>177800</xdr:rowOff>
    </xdr:from>
    <xdr:to>
      <xdr:col>9</xdr:col>
      <xdr:colOff>558800</xdr:colOff>
      <xdr:row>30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2CB7CA-96CA-4447-FC08-246E1F2E6D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574675</xdr:colOff>
      <xdr:row>4</xdr:row>
      <xdr:rowOff>0</xdr:rowOff>
    </xdr:from>
    <xdr:to>
      <xdr:col>9</xdr:col>
      <xdr:colOff>565150</xdr:colOff>
      <xdr:row>16</xdr:row>
      <xdr:rowOff>31750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711CC63-4AE7-5FFB-36BA-66A1C1FBAA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8"/>
  <sheetViews>
    <sheetView tabSelected="1" topLeftCell="A9" workbookViewId="0">
      <selection activeCell="K22" sqref="K22"/>
    </sheetView>
  </sheetViews>
  <sheetFormatPr defaultColWidth="12.54296875" defaultRowHeight="15.75" customHeight="1"/>
  <cols>
    <col min="1" max="1" width="5.26953125" customWidth="1"/>
  </cols>
  <sheetData>
    <row r="1" spans="1:4" ht="13">
      <c r="A1" s="1"/>
      <c r="B1" s="1"/>
      <c r="D1" s="2"/>
    </row>
    <row r="2" spans="1:4" ht="13">
      <c r="A2" s="1"/>
      <c r="B2" s="1" t="s">
        <v>0</v>
      </c>
      <c r="C2" s="3">
        <v>19389021</v>
      </c>
      <c r="D2" s="2" t="s">
        <v>1</v>
      </c>
    </row>
    <row r="4" spans="1:4" ht="13">
      <c r="A4" s="1"/>
      <c r="B4" s="1" t="s">
        <v>2</v>
      </c>
    </row>
    <row r="6" spans="1:4" ht="13">
      <c r="A6" s="4"/>
      <c r="B6" s="5" t="s">
        <v>3</v>
      </c>
      <c r="C6" s="5" t="s">
        <v>4</v>
      </c>
    </row>
    <row r="7" spans="1:4" ht="15.75" customHeight="1">
      <c r="A7" s="6"/>
      <c r="B7" s="7">
        <f>'Raw Data'!A2</f>
        <v>0</v>
      </c>
      <c r="C7" s="8">
        <f>'Raw Data'!E2</f>
        <v>0</v>
      </c>
    </row>
    <row r="8" spans="1:4" ht="15.75" customHeight="1">
      <c r="A8" s="6"/>
      <c r="B8" s="7">
        <f>'Raw Data'!A3</f>
        <v>1000</v>
      </c>
      <c r="C8" s="8">
        <f>'Raw Data'!E3</f>
        <v>487.35242172276992</v>
      </c>
    </row>
    <row r="9" spans="1:4" ht="15.75" customHeight="1">
      <c r="A9" s="6"/>
      <c r="B9" s="7">
        <f>'Raw Data'!A4</f>
        <v>2000</v>
      </c>
      <c r="C9" s="8">
        <f>'Raw Data'!E4</f>
        <v>1122.37757827723</v>
      </c>
    </row>
    <row r="10" spans="1:4" ht="15.75" customHeight="1">
      <c r="A10" s="6"/>
      <c r="B10" s="7">
        <f>'Raw Data'!A5</f>
        <v>3000</v>
      </c>
      <c r="C10" s="8">
        <f>'Raw Data'!E5</f>
        <v>1461.079974364598</v>
      </c>
    </row>
    <row r="11" spans="1:4" ht="15.75" customHeight="1">
      <c r="A11" s="6"/>
      <c r="B11" s="7">
        <f>'Raw Data'!A6</f>
        <v>4000</v>
      </c>
      <c r="C11" s="8">
        <f>'Raw Data'!E6</f>
        <v>1864.0810616786457</v>
      </c>
    </row>
    <row r="12" spans="1:4" ht="15.75" customHeight="1">
      <c r="A12" s="6"/>
      <c r="B12" s="7">
        <f>'Raw Data'!A7</f>
        <v>5000</v>
      </c>
      <c r="C12" s="8">
        <f>'Raw Data'!E7</f>
        <v>2126.37757827723</v>
      </c>
    </row>
    <row r="13" spans="1:4" ht="15.75" customHeight="1">
      <c r="A13" s="6"/>
      <c r="B13" s="7">
        <f>'Raw Data'!A8</f>
        <v>6000</v>
      </c>
      <c r="C13" s="8">
        <f>'Raw Data'!E8</f>
        <v>2136.1573186524265</v>
      </c>
    </row>
    <row r="14" spans="1:4" ht="15.75" customHeight="1">
      <c r="A14" s="6"/>
      <c r="B14" s="7">
        <f>'Raw Data'!A9</f>
        <v>7000</v>
      </c>
      <c r="C14" s="8">
        <f>'Raw Data'!E9</f>
        <v>2263.9189383213543</v>
      </c>
    </row>
    <row r="15" spans="1:4" ht="15.75" customHeight="1">
      <c r="A15" s="6"/>
      <c r="B15" s="7">
        <f>'Raw Data'!A10</f>
        <v>8000</v>
      </c>
      <c r="C15" s="8">
        <f>'Raw Data'!E10</f>
        <v>2276.8224217227698</v>
      </c>
    </row>
    <row r="17" spans="1:3" ht="13">
      <c r="A17" s="1"/>
      <c r="B17" s="1" t="s">
        <v>5</v>
      </c>
    </row>
    <row r="18" spans="1:3" ht="15.75" customHeight="1">
      <c r="A18" s="6"/>
      <c r="B18" s="6"/>
      <c r="C18" s="6"/>
    </row>
    <row r="19" spans="1:3" ht="13">
      <c r="A19" s="4"/>
      <c r="B19" s="5" t="s">
        <v>6</v>
      </c>
      <c r="C19" s="5" t="s">
        <v>7</v>
      </c>
    </row>
    <row r="20" spans="1:3" ht="12.5">
      <c r="A20" s="6"/>
      <c r="B20" s="9">
        <f>'Raw Data'!G2</f>
        <v>0</v>
      </c>
      <c r="C20" s="8">
        <f>'Raw Data'!K2</f>
        <v>0</v>
      </c>
    </row>
    <row r="21" spans="1:3" ht="12.5">
      <c r="A21" s="6"/>
      <c r="B21" s="9">
        <f>'Raw Data'!G3</f>
        <v>1.5</v>
      </c>
      <c r="C21" s="8">
        <f>'Raw Data'!K3</f>
        <v>2599.24484344554</v>
      </c>
    </row>
    <row r="22" spans="1:3" ht="12.5">
      <c r="A22" s="6"/>
      <c r="B22" s="9">
        <f>'Raw Data'!G4</f>
        <v>3</v>
      </c>
      <c r="C22" s="8">
        <f>'Raw Data'!K4</f>
        <v>3894.1378766427088</v>
      </c>
    </row>
    <row r="23" spans="1:3" ht="12.5">
      <c r="A23" s="6"/>
      <c r="B23" s="9">
        <f>'Raw Data'!G5</f>
        <v>4.5</v>
      </c>
      <c r="C23" s="8">
        <f>'Raw Data'!K5</f>
        <v>4036.0146373048528</v>
      </c>
    </row>
    <row r="24" spans="1:3" ht="12.5">
      <c r="A24" s="6"/>
      <c r="B24" s="9">
        <f>'Raw Data'!G6</f>
        <v>6</v>
      </c>
      <c r="C24" s="8">
        <f>'Raw Data'!K6</f>
        <v>4244.1551565544596</v>
      </c>
    </row>
    <row r="25" spans="1:3" ht="12.5">
      <c r="A25" s="6"/>
      <c r="B25" s="9">
        <f>'Raw Data'!G7</f>
        <v>7.5</v>
      </c>
      <c r="C25" s="8">
        <f>'Raw Data'!K7</f>
        <v>4064.5621233572915</v>
      </c>
    </row>
    <row r="26" spans="1:3" ht="12.5">
      <c r="A26" s="6"/>
      <c r="B26" s="9">
        <f>'Raw Data'!G8</f>
        <v>9</v>
      </c>
      <c r="C26" s="8">
        <f>'Raw Data'!K8</f>
        <v>3802.2599487291959</v>
      </c>
    </row>
    <row r="27" spans="1:3" ht="12.5">
      <c r="A27" s="6"/>
      <c r="B27" s="9">
        <f>'Raw Data'!G9</f>
        <v>10.5</v>
      </c>
      <c r="C27" s="8">
        <f>'Raw Data'!K9</f>
        <v>3877.1551565544601</v>
      </c>
    </row>
    <row r="28" spans="1:3" ht="12.5">
      <c r="A28" s="6"/>
      <c r="B28" s="9">
        <f>'Raw Data'!G10</f>
        <v>12</v>
      </c>
      <c r="C28" s="8">
        <f>'Raw Data'!K10</f>
        <v>3533.6448434455401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26"/>
  <sheetViews>
    <sheetView topLeftCell="L1" workbookViewId="0">
      <selection activeCell="R11" sqref="R11"/>
    </sheetView>
  </sheetViews>
  <sheetFormatPr defaultColWidth="12.54296875" defaultRowHeight="15.75" customHeight="1"/>
  <cols>
    <col min="1" max="1" width="8.54296875" hidden="1" customWidth="1"/>
    <col min="2" max="3" width="13.453125" hidden="1" customWidth="1"/>
    <col min="4" max="4" width="8.54296875" hidden="1" customWidth="1"/>
    <col min="5" max="5" width="16.81640625" hidden="1" customWidth="1"/>
    <col min="6" max="6" width="12.54296875" hidden="1" customWidth="1"/>
    <col min="7" max="7" width="11.26953125" hidden="1" customWidth="1"/>
    <col min="8" max="9" width="13.453125" hidden="1" customWidth="1"/>
    <col min="10" max="10" width="8.54296875" hidden="1" customWidth="1"/>
    <col min="11" max="11" width="11.26953125" hidden="1" customWidth="1"/>
  </cols>
  <sheetData>
    <row r="1" spans="1:11" ht="13">
      <c r="A1" s="10" t="s">
        <v>8</v>
      </c>
      <c r="B1" s="10" t="s">
        <v>9</v>
      </c>
      <c r="C1" s="10" t="s">
        <v>10</v>
      </c>
      <c r="D1" s="10" t="s">
        <v>11</v>
      </c>
      <c r="E1" s="10" t="s">
        <v>12</v>
      </c>
      <c r="G1" s="10" t="s">
        <v>13</v>
      </c>
      <c r="H1" s="10" t="s">
        <v>14</v>
      </c>
      <c r="I1" s="10" t="s">
        <v>10</v>
      </c>
      <c r="J1" s="10" t="s">
        <v>11</v>
      </c>
      <c r="K1" s="10" t="s">
        <v>15</v>
      </c>
    </row>
    <row r="2" spans="1:11" ht="15.75" customHeight="1">
      <c r="A2" s="11">
        <v>0</v>
      </c>
      <c r="B2" s="12">
        <v>0</v>
      </c>
      <c r="C2" s="12">
        <v>0</v>
      </c>
      <c r="D2" s="14">
        <v>0</v>
      </c>
      <c r="E2" s="15">
        <v>0</v>
      </c>
      <c r="G2" s="13">
        <v>0</v>
      </c>
      <c r="H2" s="16">
        <v>0</v>
      </c>
      <c r="I2" s="12">
        <v>0</v>
      </c>
      <c r="J2" s="14">
        <v>0</v>
      </c>
      <c r="K2" s="15">
        <v>0</v>
      </c>
    </row>
    <row r="3" spans="1:11" ht="15.75" customHeight="1">
      <c r="A3" s="11">
        <v>1000</v>
      </c>
      <c r="B3" s="12">
        <v>551.42999999999995</v>
      </c>
      <c r="C3" s="12">
        <f t="shared" ref="C3:C10" si="0">B18</f>
        <v>0.1</v>
      </c>
      <c r="D3" s="14">
        <f t="shared" ref="D3:D10" si="1">$B$12*_xlfn.NORM.S.INV(C3) + $B$13</f>
        <v>-64.077578277230032</v>
      </c>
      <c r="E3" s="15">
        <f t="shared" ref="E3:E10" si="2">B3+D3</f>
        <v>487.35242172276992</v>
      </c>
      <c r="G3" s="13">
        <v>1.5</v>
      </c>
      <c r="H3" s="16">
        <v>2727.4</v>
      </c>
      <c r="I3" s="12">
        <f>H25</f>
        <v>0.1</v>
      </c>
      <c r="J3" s="14">
        <f>$H$12*_xlfn.NORM.S.INV(I3) + $H$13</f>
        <v>-128.15515655446006</v>
      </c>
      <c r="K3" s="15">
        <f t="shared" ref="K3:K10" si="3">H3+J3</f>
        <v>2599.24484344554</v>
      </c>
    </row>
    <row r="4" spans="1:11" ht="15.75" customHeight="1">
      <c r="A4" s="11">
        <v>2000</v>
      </c>
      <c r="B4" s="12">
        <v>1058.3</v>
      </c>
      <c r="C4" s="12">
        <f t="shared" si="0"/>
        <v>0.9</v>
      </c>
      <c r="D4" s="14">
        <f t="shared" si="1"/>
        <v>64.077578277230032</v>
      </c>
      <c r="E4" s="15">
        <f t="shared" si="2"/>
        <v>1122.37757827723</v>
      </c>
      <c r="G4" s="13">
        <v>3</v>
      </c>
      <c r="H4" s="16">
        <v>3978.3</v>
      </c>
      <c r="I4" s="12">
        <f>H24</f>
        <v>0.2</v>
      </c>
      <c r="J4" s="14">
        <f t="shared" ref="J4:J10" si="4">$H$12*_xlfn.NORM.S.INV(I4) + $H$13</f>
        <v>-84.162123357291449</v>
      </c>
      <c r="K4" s="15">
        <f t="shared" si="3"/>
        <v>3894.1378766427088</v>
      </c>
    </row>
    <row r="5" spans="1:11" ht="15.75" customHeight="1">
      <c r="A5" s="11">
        <v>3000</v>
      </c>
      <c r="B5" s="12">
        <v>1487.3</v>
      </c>
      <c r="C5" s="12">
        <f t="shared" si="0"/>
        <v>0.3</v>
      </c>
      <c r="D5" s="14">
        <f t="shared" si="1"/>
        <v>-26.220025635402045</v>
      </c>
      <c r="E5" s="15">
        <f t="shared" si="2"/>
        <v>1461.079974364598</v>
      </c>
      <c r="G5" s="13">
        <v>4.5</v>
      </c>
      <c r="H5" s="16">
        <v>4200.5</v>
      </c>
      <c r="I5" s="12">
        <f>H23</f>
        <v>0.05</v>
      </c>
      <c r="J5" s="14">
        <f t="shared" si="4"/>
        <v>-164.48536269514727</v>
      </c>
      <c r="K5" s="15">
        <f t="shared" si="3"/>
        <v>4036.0146373048528</v>
      </c>
    </row>
    <row r="6" spans="1:11" ht="15.75" customHeight="1">
      <c r="A6" s="11">
        <v>4000</v>
      </c>
      <c r="B6" s="12">
        <v>1822</v>
      </c>
      <c r="C6" s="12">
        <f t="shared" si="0"/>
        <v>0.8</v>
      </c>
      <c r="D6" s="14">
        <f t="shared" si="1"/>
        <v>42.081061678645739</v>
      </c>
      <c r="E6" s="15">
        <f t="shared" si="2"/>
        <v>1864.0810616786457</v>
      </c>
      <c r="G6" s="13">
        <v>6</v>
      </c>
      <c r="H6" s="16">
        <v>4116</v>
      </c>
      <c r="I6" s="12">
        <f>H22</f>
        <v>0.9</v>
      </c>
      <c r="J6" s="14">
        <f t="shared" si="4"/>
        <v>128.15515655446006</v>
      </c>
      <c r="K6" s="15">
        <f t="shared" si="3"/>
        <v>4244.1551565544596</v>
      </c>
    </row>
    <row r="7" spans="1:11" ht="15.75" customHeight="1">
      <c r="A7" s="11">
        <v>5000</v>
      </c>
      <c r="B7" s="12">
        <v>2062.3000000000002</v>
      </c>
      <c r="C7" s="12">
        <f t="shared" si="0"/>
        <v>0.9</v>
      </c>
      <c r="D7" s="14">
        <f t="shared" si="1"/>
        <v>64.077578277230032</v>
      </c>
      <c r="E7" s="15">
        <f t="shared" si="2"/>
        <v>2126.37757827723</v>
      </c>
      <c r="G7" s="13">
        <v>7.5</v>
      </c>
      <c r="H7" s="16">
        <v>3980.4</v>
      </c>
      <c r="I7" s="12">
        <f>H21</f>
        <v>0.8</v>
      </c>
      <c r="J7" s="14">
        <f t="shared" si="4"/>
        <v>84.162123357291478</v>
      </c>
      <c r="K7" s="15">
        <f t="shared" si="3"/>
        <v>4064.5621233572915</v>
      </c>
    </row>
    <row r="8" spans="1:11" ht="15.75" customHeight="1">
      <c r="A8" s="11">
        <v>6000</v>
      </c>
      <c r="B8" s="12">
        <v>2218.4</v>
      </c>
      <c r="C8" s="12">
        <f t="shared" si="0"/>
        <v>0.05</v>
      </c>
      <c r="D8" s="14">
        <f t="shared" si="1"/>
        <v>-82.242681347573637</v>
      </c>
      <c r="E8" s="15">
        <f t="shared" si="2"/>
        <v>2136.1573186524265</v>
      </c>
      <c r="G8" s="13">
        <v>9</v>
      </c>
      <c r="H8" s="16">
        <v>3854.7</v>
      </c>
      <c r="I8" s="12">
        <f>H20</f>
        <v>0.3</v>
      </c>
      <c r="J8" s="14">
        <f t="shared" si="4"/>
        <v>-52.440051270804091</v>
      </c>
      <c r="K8" s="15">
        <f t="shared" si="3"/>
        <v>3802.2599487291959</v>
      </c>
    </row>
    <row r="9" spans="1:11" ht="15.75" customHeight="1">
      <c r="A9" s="11">
        <v>7000</v>
      </c>
      <c r="B9" s="12">
        <v>2306</v>
      </c>
      <c r="C9" s="12">
        <f t="shared" si="0"/>
        <v>0.2</v>
      </c>
      <c r="D9" s="14">
        <f t="shared" si="1"/>
        <v>-42.081061678645725</v>
      </c>
      <c r="E9" s="15">
        <f t="shared" si="2"/>
        <v>2263.9189383213543</v>
      </c>
      <c r="G9" s="13">
        <v>10.5</v>
      </c>
      <c r="H9" s="16">
        <v>3749</v>
      </c>
      <c r="I9" s="12">
        <f>H19</f>
        <v>0.9</v>
      </c>
      <c r="J9" s="14">
        <f t="shared" si="4"/>
        <v>128.15515655446006</v>
      </c>
      <c r="K9" s="15">
        <f t="shared" si="3"/>
        <v>3877.1551565544601</v>
      </c>
    </row>
    <row r="10" spans="1:11" ht="15.75" customHeight="1">
      <c r="A10" s="11">
        <v>8000</v>
      </c>
      <c r="B10" s="12">
        <v>2340.9</v>
      </c>
      <c r="C10" s="12">
        <f t="shared" si="0"/>
        <v>0.1</v>
      </c>
      <c r="D10" s="14">
        <f t="shared" si="1"/>
        <v>-64.077578277230032</v>
      </c>
      <c r="E10" s="15">
        <f t="shared" si="2"/>
        <v>2276.8224217227698</v>
      </c>
      <c r="G10" s="13">
        <v>12</v>
      </c>
      <c r="H10" s="16">
        <v>3661.8</v>
      </c>
      <c r="I10" s="12">
        <f>H18</f>
        <v>0.1</v>
      </c>
      <c r="J10" s="14">
        <f t="shared" si="4"/>
        <v>-128.15515655446006</v>
      </c>
      <c r="K10" s="15">
        <f t="shared" si="3"/>
        <v>3533.6448434455401</v>
      </c>
    </row>
    <row r="11" spans="1:11" ht="15.75" customHeight="1">
      <c r="A11" s="17"/>
      <c r="B11" s="17"/>
      <c r="C11" s="17"/>
      <c r="D11" s="17"/>
      <c r="E11" s="17"/>
      <c r="G11" s="17"/>
      <c r="H11" s="17"/>
      <c r="I11" s="17"/>
      <c r="J11" s="17"/>
      <c r="K11" s="17"/>
    </row>
    <row r="12" spans="1:11" ht="13">
      <c r="A12" s="18" t="s">
        <v>16</v>
      </c>
      <c r="B12" s="19">
        <v>50</v>
      </c>
      <c r="C12" s="17"/>
      <c r="D12" s="17"/>
      <c r="E12" s="17"/>
      <c r="G12" s="18" t="s">
        <v>16</v>
      </c>
      <c r="H12" s="19">
        <v>100</v>
      </c>
      <c r="I12" s="17"/>
      <c r="J12" s="17"/>
      <c r="K12" s="17"/>
    </row>
    <row r="13" spans="1:11" ht="13">
      <c r="A13" s="18" t="s">
        <v>17</v>
      </c>
      <c r="B13" s="19">
        <v>0</v>
      </c>
      <c r="C13" s="17"/>
      <c r="D13" s="17"/>
      <c r="E13" s="17"/>
      <c r="G13" s="18" t="s">
        <v>17</v>
      </c>
      <c r="H13" s="19">
        <v>0</v>
      </c>
      <c r="I13" s="17"/>
      <c r="J13" s="17"/>
      <c r="K13" s="17"/>
    </row>
    <row r="14" spans="1:11" ht="13">
      <c r="A14" s="18" t="s">
        <v>18</v>
      </c>
      <c r="B14" s="19">
        <v>0.05</v>
      </c>
      <c r="C14" s="17"/>
      <c r="D14" s="17"/>
      <c r="E14" s="17"/>
      <c r="G14" s="18" t="s">
        <v>18</v>
      </c>
      <c r="H14" s="19">
        <v>0.05</v>
      </c>
      <c r="I14" s="17"/>
      <c r="J14" s="17"/>
      <c r="K14" s="17"/>
    </row>
    <row r="15" spans="1:11" ht="15.75" customHeight="1">
      <c r="A15" s="17"/>
      <c r="B15" s="17"/>
      <c r="C15" s="17"/>
      <c r="D15" s="17"/>
      <c r="E15" s="17"/>
      <c r="G15" s="17"/>
      <c r="H15" s="17"/>
      <c r="I15" s="17"/>
      <c r="J15" s="17"/>
      <c r="K15" s="17"/>
    </row>
    <row r="16" spans="1:11" ht="13">
      <c r="A16" s="17"/>
      <c r="B16" s="10" t="s">
        <v>19</v>
      </c>
      <c r="C16" s="10" t="s">
        <v>20</v>
      </c>
      <c r="D16" s="17"/>
      <c r="E16" s="17"/>
      <c r="G16" s="17"/>
      <c r="H16" s="10" t="s">
        <v>19</v>
      </c>
      <c r="I16" s="10" t="s">
        <v>20</v>
      </c>
      <c r="J16" s="17"/>
      <c r="K16" s="17"/>
    </row>
    <row r="17" spans="1:11" ht="13">
      <c r="A17" s="24" t="s">
        <v>21</v>
      </c>
      <c r="B17" s="20" t="str">
        <f>TEXT(Main!C2,"????????")</f>
        <v>19389021</v>
      </c>
      <c r="C17" s="21">
        <f>LEN(TEXT(B17,"0"))</f>
        <v>8</v>
      </c>
      <c r="D17" s="17"/>
      <c r="E17" s="17"/>
      <c r="G17" s="24" t="s">
        <v>21</v>
      </c>
      <c r="H17" s="20" t="str">
        <f>TEXT(Main!C2,"????????")</f>
        <v>19389021</v>
      </c>
      <c r="I17" s="21">
        <f>LEN(TEXT(H17,"0"))</f>
        <v>8</v>
      </c>
      <c r="J17" s="17"/>
      <c r="K17" s="17"/>
    </row>
    <row r="18" spans="1:11" ht="15.75" customHeight="1">
      <c r="A18" s="22" t="str">
        <f>MID($B$17,1,1)</f>
        <v>1</v>
      </c>
      <c r="B18" s="12">
        <f>IF(VALUE(A18)&gt;0,VALUE(A18)/10,$B$14)</f>
        <v>0.1</v>
      </c>
      <c r="C18" s="17"/>
      <c r="D18" s="17"/>
      <c r="E18" s="17"/>
      <c r="G18" s="22" t="str">
        <f>MID($H$17,1,1)</f>
        <v>1</v>
      </c>
      <c r="H18" s="12">
        <f>IF(VALUE(G18)&gt;0,VALUE(G18)/10,$B$14)</f>
        <v>0.1</v>
      </c>
      <c r="I18" s="17"/>
      <c r="J18" s="17"/>
      <c r="K18" s="17"/>
    </row>
    <row r="19" spans="1:11" ht="15.75" customHeight="1">
      <c r="A19" s="22" t="str">
        <f>MID($B$17,2,1)</f>
        <v>9</v>
      </c>
      <c r="B19" s="12">
        <f t="shared" ref="B19:B25" si="5">IF(VALUE(A19)&gt;0,VALUE(A19)/10,$B$14)</f>
        <v>0.9</v>
      </c>
      <c r="C19" s="17"/>
      <c r="D19" s="17"/>
      <c r="E19" s="17"/>
      <c r="G19" s="22" t="str">
        <f>MID($H$17,2,1)</f>
        <v>9</v>
      </c>
      <c r="H19" s="12">
        <f t="shared" ref="H19:H25" si="6">IF(VALUE(G19)&gt;0,VALUE(G19)/10,$B$14)</f>
        <v>0.9</v>
      </c>
      <c r="I19" s="17"/>
      <c r="J19" s="17"/>
      <c r="K19" s="17"/>
    </row>
    <row r="20" spans="1:11" ht="12.5">
      <c r="A20" s="22" t="str">
        <f>MID($B$17,3,1)</f>
        <v>3</v>
      </c>
      <c r="B20" s="12">
        <f t="shared" si="5"/>
        <v>0.3</v>
      </c>
      <c r="C20" s="17"/>
      <c r="D20" s="17"/>
      <c r="E20" s="17"/>
      <c r="G20" s="22" t="str">
        <f>MID($H$17,3,1)</f>
        <v>3</v>
      </c>
      <c r="H20" s="12">
        <f t="shared" si="6"/>
        <v>0.3</v>
      </c>
      <c r="I20" s="17"/>
      <c r="J20" s="17"/>
      <c r="K20" s="17"/>
    </row>
    <row r="21" spans="1:11" ht="12.5">
      <c r="A21" s="22" t="str">
        <f>MID($B$17,4,1)</f>
        <v>8</v>
      </c>
      <c r="B21" s="12">
        <f t="shared" si="5"/>
        <v>0.8</v>
      </c>
      <c r="C21" s="17"/>
      <c r="D21" s="17"/>
      <c r="E21" s="17"/>
      <c r="G21" s="22" t="str">
        <f>MID($H$17,4,1)</f>
        <v>8</v>
      </c>
      <c r="H21" s="12">
        <f t="shared" si="6"/>
        <v>0.8</v>
      </c>
      <c r="I21" s="17"/>
      <c r="J21" s="17"/>
      <c r="K21" s="17"/>
    </row>
    <row r="22" spans="1:11" ht="12.5">
      <c r="A22" s="22" t="str">
        <f>MID($B$17,5,1)</f>
        <v>9</v>
      </c>
      <c r="B22" s="12">
        <f t="shared" si="5"/>
        <v>0.9</v>
      </c>
      <c r="C22" s="17"/>
      <c r="D22" s="17"/>
      <c r="E22" s="17"/>
      <c r="G22" s="22" t="str">
        <f>MID($H$17,5,1)</f>
        <v>9</v>
      </c>
      <c r="H22" s="12">
        <f t="shared" si="6"/>
        <v>0.9</v>
      </c>
      <c r="I22" s="17"/>
      <c r="J22" s="17"/>
      <c r="K22" s="17"/>
    </row>
    <row r="23" spans="1:11" ht="12.5">
      <c r="A23" s="22" t="str">
        <f>MID($B$17,6,1)</f>
        <v>0</v>
      </c>
      <c r="B23" s="12">
        <f t="shared" si="5"/>
        <v>0.05</v>
      </c>
      <c r="C23" s="17"/>
      <c r="D23" s="17"/>
      <c r="E23" s="17"/>
      <c r="G23" s="22" t="str">
        <f>MID($H$17,6,1)</f>
        <v>0</v>
      </c>
      <c r="H23" s="12">
        <f t="shared" si="6"/>
        <v>0.05</v>
      </c>
      <c r="I23" s="17"/>
      <c r="J23" s="17"/>
      <c r="K23" s="17"/>
    </row>
    <row r="24" spans="1:11" ht="12.5">
      <c r="A24" s="22" t="str">
        <f>MID($B$17,7,1)</f>
        <v>2</v>
      </c>
      <c r="B24" s="12">
        <f t="shared" si="5"/>
        <v>0.2</v>
      </c>
      <c r="C24" s="17"/>
      <c r="D24" s="17"/>
      <c r="E24" s="17"/>
      <c r="G24" s="22" t="str">
        <f>MID($H$17,7,1)</f>
        <v>2</v>
      </c>
      <c r="H24" s="12">
        <f t="shared" si="6"/>
        <v>0.2</v>
      </c>
      <c r="I24" s="17"/>
      <c r="J24" s="17"/>
      <c r="K24" s="17"/>
    </row>
    <row r="25" spans="1:11" ht="12.5">
      <c r="A25" s="25" t="str">
        <f>MID($B$17,8,1)</f>
        <v>1</v>
      </c>
      <c r="B25" s="26">
        <f t="shared" si="5"/>
        <v>0.1</v>
      </c>
      <c r="C25" s="23"/>
      <c r="D25" s="17"/>
      <c r="E25" s="17"/>
      <c r="G25" s="25" t="str">
        <f>MID($H$17,8,1)</f>
        <v>1</v>
      </c>
      <c r="H25" s="26">
        <f t="shared" si="6"/>
        <v>0.1</v>
      </c>
      <c r="I25" s="23"/>
      <c r="J25" s="17"/>
      <c r="K25" s="17"/>
    </row>
    <row r="26" spans="1:11" ht="13">
      <c r="A26" s="17"/>
      <c r="B26" s="10" t="s">
        <v>10</v>
      </c>
      <c r="C26" s="17"/>
      <c r="D26" s="17"/>
      <c r="E26" s="17"/>
      <c r="H26" s="10" t="s">
        <v>10</v>
      </c>
    </row>
  </sheetData>
  <sheetProtection algorithmName="SHA-512" hashValue="QUH/MDYjNWmT4vKeQuTkuCI9y4DO/7mbiaojg6WXkBi8bKd+VuqAssNKwFCsvAE8Ih/fUsPwre/Dwbrb8Oorcw==" saltValue="SxWAOnFcd/rB3S2toQOuOA==" spinCount="100000" sheet="1" objects="1" scenarios="1" selectLockedCells="1" selectUnlockedCell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Luis Alvarado</cp:lastModifiedBy>
  <dcterms:modified xsi:type="dcterms:W3CDTF">2025-10-11T20:20:08Z</dcterms:modified>
</cp:coreProperties>
</file>